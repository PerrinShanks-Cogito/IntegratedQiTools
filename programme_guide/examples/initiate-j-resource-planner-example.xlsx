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\\gstt.local\Users\03\GBeale\Documents\Ella\Toolkit\Initiate\"/>
    </mc:Choice>
  </mc:AlternateContent>
  <xr:revisionPtr revIDLastSave="0" documentId="8_{CCEFC613-3D26-463B-831A-3AF96F24C8BD}" xr6:coauthVersionLast="36" xr6:coauthVersionMax="36" xr10:uidLastSave="{00000000-0000-0000-0000-000000000000}"/>
  <bookViews>
    <workbookView xWindow="-38400" yWindow="-765" windowWidth="38400" windowHeight="21120" xr2:uid="{FDB7BAA2-56C2-2E47-9999-48A9562D67E9}"/>
  </bookViews>
  <sheets>
    <sheet name="Sheet1" sheetId="1" r:id="rId1"/>
    <sheet name="Visual" sheetId="2" r:id="rId2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tc={8098A4AB-7D0A-473E-99E8-E56B1C752FA0}</author>
    <author>tc={E94684B0-64EB-4636-A562-2DD9C24A608C}</author>
    <author>tc={9EF95396-E7F2-4B1B-B211-DB117F799AFB}</author>
  </authors>
  <commentList>
    <comment ref="A8" authorId="0" shapeId="0" xr:uid="{8098A4AB-7D0A-473E-99E8-E56B1C752FA0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@Grundy Sam (SGRUNDY) Hi Sam, are we able to have a comment in here to describe what 'planned days' means? </t>
        </r>
      </text>
    </comment>
    <comment ref="A19" authorId="1" shapeId="0" xr:uid="{E94684B0-64EB-4636-A562-2DD9C24A608C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above @Grundy Sam (SGRUNDY) </t>
        </r>
      </text>
    </comment>
    <comment ref="A30" authorId="2" shapeId="0" xr:uid="{9EF95396-E7F2-4B1B-B211-DB117F799AFB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@Grundy Sam (SGRUNDY) as above</t>
        </r>
      </text>
    </comment>
  </commentList>
</comments>
</file>

<file path=xl/sharedStrings.xml><?xml version="1.0" encoding="utf-8"?>
<sst xmlns="http://schemas.openxmlformats.org/spreadsheetml/2006/main" count="62" uniqueCount="24">
  <si>
    <t>Resource Planner &amp; Tracker</t>
  </si>
  <si>
    <t>V1 October 2022</t>
  </si>
  <si>
    <t>Project:</t>
  </si>
  <si>
    <t>Project Manager:</t>
  </si>
  <si>
    <t>Project Start Date:</t>
  </si>
  <si>
    <t>Resource Name</t>
  </si>
  <si>
    <t>Resource 
Role</t>
  </si>
  <si>
    <t>Total Planned Days</t>
  </si>
  <si>
    <t>Planned 
Days</t>
  </si>
  <si>
    <t>Bill</t>
  </si>
  <si>
    <t>Project Manager</t>
  </si>
  <si>
    <t>Ben</t>
  </si>
  <si>
    <t>Clinical Lead</t>
  </si>
  <si>
    <t>Sam</t>
  </si>
  <si>
    <t>Rebecca</t>
  </si>
  <si>
    <t>Actual Days Worked</t>
  </si>
  <si>
    <t>Days Remaining</t>
  </si>
  <si>
    <t>Burn 
Rate</t>
  </si>
  <si>
    <t>External Resources</t>
  </si>
  <si>
    <t>Name</t>
  </si>
  <si>
    <t>Time</t>
  </si>
  <si>
    <t>Any additional resources from an external source (consultancy etc)</t>
  </si>
  <si>
    <t>Actual resource usage (in days) - requires updating regularly</t>
  </si>
  <si>
    <t>Predicted time (in days) required for each 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</si>
</sst>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0"/>
      <name val="Arial"/>
      <family val="2"/>
    </font>
    <font>
      <sz val="8"/>
      <color theme="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57C95"/>
        <bgColor indexed="64"/>
      </patternFill>
    </fill>
    <fill>
      <patternFill patternType="solid">
        <fgColor rgb="FFBCEFF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wrapText="1"/>
    </xf>
    <xf numFmtId="0" fontId="1" fillId="3" borderId="0" xfId="0" applyFont="1" applyFill="1"/>
    <xf numFmtId="14" fontId="2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3" borderId="0" xfId="0" applyFont="1" applyFill="1"/>
    <xf numFmtId="0" fontId="2" fillId="6" borderId="0" xfId="0" applyFont="1" applyFill="1"/>
    <xf numFmtId="0" fontId="2" fillId="3" borderId="1" xfId="0" applyFont="1" applyFill="1" applyBorder="1"/>
    <xf numFmtId="0" fontId="7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64" fontId="1" fillId="5" borderId="0" xfId="0" applyNumberFormat="1" applyFont="1" applyFill="1" applyAlignment="1">
      <alignment horizontal="center" vertical="center" wrapText="1"/>
    </xf>
    <xf numFmtId="0" fontId="2" fillId="5" borderId="0" xfId="0" applyFont="1" applyFill="1"/>
    <xf numFmtId="0" fontId="2" fillId="5" borderId="1" xfId="0" applyFont="1" applyFill="1" applyBorder="1"/>
    <xf numFmtId="0" fontId="5" fillId="8" borderId="0" xfId="0" applyFont="1" applyFill="1" applyAlignment="1">
      <alignment horizontal="center" vertical="center" wrapText="1"/>
    </xf>
    <xf numFmtId="164" fontId="1" fillId="7" borderId="0" xfId="0" applyNumberFormat="1" applyFont="1" applyFill="1" applyAlignment="1">
      <alignment horizontal="center" vertical="center" wrapText="1"/>
    </xf>
    <xf numFmtId="0" fontId="2" fillId="7" borderId="0" xfId="0" applyFont="1" applyFill="1"/>
    <xf numFmtId="0" fontId="2" fillId="7" borderId="1" xfId="0" applyFont="1" applyFill="1" applyBorder="1"/>
    <xf numFmtId="0" fontId="8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8" fillId="0" borderId="0" xfId="0" applyFont="1" applyAlignment="1">
      <alignment vertical="top" wrapText="1"/>
    </xf>
    <xf numFmtId="0" fontId="3" fillId="9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57C95"/>
      <color rgb="FFBCEF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Visual!$B$2</c:f>
              <c:strCache>
                <c:ptCount val="1"/>
                <c:pt idx="0">
                  <c:v>Time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DA-BA4D-BDC1-27C2B4BE44E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DA-BA4D-BDC1-27C2B4BE44E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DA-BA4D-BDC1-27C2B4BE44E4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DA-BA4D-BDC1-27C2B4BE44E4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10DA-BA4D-BDC1-27C2B4BE44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Visual!$A$3:$A$6</c:f>
              <c:strCache>
                <c:ptCount val="4"/>
                <c:pt idx="0">
                  <c:v>Bill</c:v>
                </c:pt>
                <c:pt idx="1">
                  <c:v>Ben</c:v>
                </c:pt>
                <c:pt idx="2">
                  <c:v>Sam</c:v>
                </c:pt>
                <c:pt idx="3">
                  <c:v>Rebecca</c:v>
                </c:pt>
              </c:strCache>
            </c:strRef>
          </c:cat>
          <c:val>
            <c:numRef>
              <c:f>Visual!$B$3:$B$6</c:f>
              <c:numCache>
                <c:formatCode>General</c:formatCode>
                <c:ptCount val="4"/>
                <c:pt idx="0">
                  <c:v>60</c:v>
                </c:pt>
                <c:pt idx="1">
                  <c:v>11</c:v>
                </c:pt>
                <c:pt idx="2">
                  <c:v>15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DA-BA4D-BDC1-27C2B4BE44E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Visual!$B$2</c:f>
              <c:strCache>
                <c:ptCount val="1"/>
                <c:pt idx="0">
                  <c:v>Time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9F-9F4A-9DB0-07E1CFA37E7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9F-9F4A-9DB0-07E1CFA37E7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9F-9F4A-9DB0-07E1CFA37E7C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6E-BD4F-AFFC-A9B7070AA8AB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76E-BD4F-AFFC-A9B7070AA8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Visual!$A$3:$A$6</c:f>
              <c:strCache>
                <c:ptCount val="4"/>
                <c:pt idx="0">
                  <c:v>Bill</c:v>
                </c:pt>
                <c:pt idx="1">
                  <c:v>Ben</c:v>
                </c:pt>
                <c:pt idx="2">
                  <c:v>Sam</c:v>
                </c:pt>
                <c:pt idx="3">
                  <c:v>Rebecca</c:v>
                </c:pt>
              </c:strCache>
            </c:strRef>
          </c:cat>
          <c:val>
            <c:numRef>
              <c:f>Visual!$B$3:$B$6</c:f>
              <c:numCache>
                <c:formatCode>General</c:formatCode>
                <c:ptCount val="4"/>
                <c:pt idx="0">
                  <c:v>60</c:v>
                </c:pt>
                <c:pt idx="1">
                  <c:v>11</c:v>
                </c:pt>
                <c:pt idx="2">
                  <c:v>15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E-BD4F-AFFC-A9B7070AA8A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685800</xdr:colOff>
      <xdr:row>0</xdr:row>
      <xdr:rowOff>0</xdr:rowOff>
    </xdr:from>
    <xdr:to>
      <xdr:col>6</xdr:col>
      <xdr:colOff>12700</xdr:colOff>
      <xdr:row>1</xdr:row>
      <xdr:rowOff>34925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0C2AAE-CD4D-224D-AE5D-1981DCCF0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0" y="0"/>
          <a:ext cx="2984500" cy="771525"/>
        </a:xfrm>
        <a:prstGeom prst="rect">
          <a:avLst/>
        </a:prstGeom>
      </xdr:spPr>
    </xdr:pic>
    <xdr:clientData/>
  </xdr:twoCellAnchor>
  <xdr:twoCellAnchor>
    <xdr:from>
      <xdr:col>4</xdr:col>
      <xdr:colOff>10582</xdr:colOff>
      <xdr:row>5</xdr:row>
      <xdr:rowOff>179917</xdr:rowOff>
    </xdr:from>
    <xdr:to>
      <xdr:col>6</xdr:col>
      <xdr:colOff>10583</xdr:colOff>
      <xdr:row>14</xdr:row>
      <xdr:rowOff>74083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4F1802-1535-5545-B73A-63572CE2A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71438</xdr:colOff>
      <xdr:row>0</xdr:row>
      <xdr:rowOff>182563</xdr:rowOff>
    </xdr:from>
    <xdr:to>
      <xdr:col>7</xdr:col>
      <xdr:colOff>479204</xdr:colOff>
      <xdr:row>0</xdr:row>
      <xdr:rowOff>588785</xdr:rowOff>
    </xdr:to>
    <xdr:pic>
      <xdr:nvPicPr>
        <xdr:cNvPr id="5" name="Picture 4" descr="Text&#10;&#10;Description automatically generated">
          <a:extLst>
            <a:ext uri="{FF2B5EF4-FFF2-40B4-BE49-F238E27FC236}">
              <a16:creationId xmlns:a16="http://schemas.microsoft.com/office/drawing/2014/main" id="{D812BABA-B81B-40C0-87D7-9862DDB84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1" y="182563"/>
          <a:ext cx="1741266" cy="4062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8</xdr:row>
      <xdr:rowOff>101600</xdr:rowOff>
    </xdr:from>
    <xdr:to>
      <xdr:col>11</xdr:col>
      <xdr:colOff>635000</xdr:colOff>
      <xdr:row>26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292087-8E48-D992-65C4-B80885F94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rundy Sam (SGRUNDY)" id="{69BE7B7C-86DE-4C76-90B5-D26EA083BBA9}" userId="Sam.Grundy@gstt.nhs.uk" providerId="PeoplePicker"/>
  <person displayName="ORegan Ella" id="{64874ABA-EDFE-4199-B743-48B3036F1F02}" userId="S::ella.oregan@gstt.nhs.uk::04ca0eed-c747-471b-a60f-2eaa3fc9cb4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" dT="2022-10-24T11:06:11.34" personId="{64874ABA-EDFE-4199-B743-48B3036F1F02}" id="{8098A4AB-7D0A-473E-99E8-E56B1C752FA0}">
    <text xml:space="preserve">@Grundy Sam (SGRUNDY) Hi Sam, are we able to have a comment in here to describe what 'planned days' means? </text>
    <mentions>
      <mention mentionpersonId="{69BE7B7C-86DE-4C76-90B5-D26EA083BBA9}" mentionId="{E8F01585-041A-432B-B7F6-AE9D6C45226A}" startIndex="0" length="21"/>
    </mentions>
  </threadedComment>
  <threadedComment ref="A19" dT="2022-10-24T11:06:27.45" personId="{64874ABA-EDFE-4199-B743-48B3036F1F02}" id="{E94684B0-64EB-4636-A562-2DD9C24A608C}">
    <text xml:space="preserve">as above @Grundy Sam (SGRUNDY) </text>
    <mentions>
      <mention mentionpersonId="{69BE7B7C-86DE-4C76-90B5-D26EA083BBA9}" mentionId="{7E04F715-81AA-4D7A-8753-240E1F195792}" startIndex="9" length="21"/>
    </mentions>
  </threadedComment>
  <threadedComment ref="A30" dT="2022-10-24T11:06:42.02" personId="{64874ABA-EDFE-4199-B743-48B3036F1F02}" id="{9EF95396-E7F2-4B1B-B211-DB117F799AFB}">
    <text>@Grundy Sam (SGRUNDY) as above</text>
    <mentions>
      <mention mentionpersonId="{69BE7B7C-86DE-4C76-90B5-D26EA083BBA9}" mentionId="{6D61B3B8-18EA-4967-90FC-720205D8BF69}" startIndex="0" length="2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1788-EE51-2F4B-AB99-03447387C4CB}">
  <dimension ref="A1:CR39"/>
  <sheetViews>
    <sheetView tabSelected="1" zoomScale="120" zoomScaleNormal="120" workbookViewId="0">
      <selection activeCell="D4" sqref="D4"/>
    </sheetView>
  </sheetViews>
  <sheetFormatPr defaultColWidth="11" defaultRowHeight="15" x14ac:dyDescent="0.2"/>
  <cols>
    <col min="1" max="1" width="16.875" style="2" customWidth="1"/>
    <col min="2" max="2" width="12" style="2" customWidth="1"/>
    <col min="3" max="3" width="17.125" style="2" customWidth="1"/>
    <col min="4" max="6" width="16" style="2" customWidth="1"/>
    <col min="7" max="18" width="17.5" style="2" customWidth="1"/>
    <col min="19" max="16384" width="11" style="2"/>
  </cols>
  <sheetData>
    <row r="1" spans="1:96" s="3" customFormat="1" ht="57.95" customHeight="1" x14ac:dyDescent="0.2">
      <c r="A1" s="3" t="s">
        <v>0</v>
      </c>
      <c r="G1" s="34"/>
      <c r="H1" s="34"/>
      <c r="I1" s="4" t="s">
        <v>1</v>
      </c>
    </row>
    <row r="2" spans="1:96" ht="15.75" x14ac:dyDescent="0.25">
      <c r="A2" s="5" t="s">
        <v>2</v>
      </c>
      <c r="B2" t="inlineStr">
        <is>
          <t xml:space="preserve">Discharge Flow Programme</t>
        </is>
      </c>
    </row>
    <row r="3" spans="1:96" ht="15.75" x14ac:dyDescent="0.25">
      <c r="A3" s="5" t="s">
        <v>3</v>
      </c>
      <c r="B3" t="inlineStr">
        <is>
          <t xml:space="preserve">James Holloway</t>
        </is>
      </c>
    </row>
    <row r="4" spans="1:96" ht="15.75" x14ac:dyDescent="0.25">
      <c r="A4" s="5" t="s">
        <v>4</v>
      </c>
      <c r="B4" s="6">
        <v>46055</v>
      </c>
    </row>
    <row r="7" spans="1:96" s="7" customFormat="1" ht="31.5" x14ac:dyDescent="0.25">
      <c r="B7" s="8" t="s">
        <v>5</v>
      </c>
      <c r="C7" s="8" t="s">
        <v>6</v>
      </c>
      <c r="D7" s="8" t="s">
        <v>7</v>
      </c>
      <c r="E7" s="9"/>
      <c r="F7" s="9"/>
      <c r="G7" s="10">
        <f>IFERROR(IF(ISBLANK(B4),"Week 1",B4-MOD(B4-2,7)),"Week 1")</f>
      </c>
      <c r="H7" s="10">
        <f>IFERROR(G7+7,"Week "&amp;RIGHT(G7,LEN(G7)-FIND(" ",G7))+1)</f>
      </c>
      <c r="I7" s="10">
        <f t="shared" ref="I7:R7" si="0">IFERROR(H7+7,"Week "&amp;RIGHT(H7,LEN(H7)-FIND(" ",H7))+1)</f>
      </c>
      <c r="J7" s="10">
        <f t="shared" si="0"/>
      </c>
      <c r="K7" s="10">
        <f t="shared" si="0"/>
      </c>
      <c r="L7" s="10">
        <f t="shared" si="0"/>
      </c>
      <c r="M7" s="10">
        <f t="shared" si="0"/>
      </c>
      <c r="N7" s="10">
        <f t="shared" si="0"/>
      </c>
      <c r="O7" s="10">
        <f t="shared" si="0"/>
      </c>
      <c r="P7" s="10">
        <f t="shared" si="0"/>
      </c>
      <c r="Q7" s="10">
        <f t="shared" si="0"/>
      </c>
      <c r="R7" s="10">
        <f t="shared" si="0"/>
      </c>
      <c r="S7" s="11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</row>
    <row r="8" spans="1:96" x14ac:dyDescent="0.2">
      <c r="A8" s="27" t="s">
        <v>8</v>
      </c>
      <c r="B8" s="13" t="inlineStr">
        <is>
          <t xml:space="preserve">James Holloway</t>
        </is>
      </c>
      <c r="C8" s="13" t="inlineStr">
        <is>
          <t xml:space="preserve">Programme Manager</t>
        </is>
      </c>
      <c r="D8" s="13">
        <f>SUM(G8:AK8)</f>
      </c>
      <c r="E8" s="14"/>
      <c r="F8" s="14"/>
      <c r="G8" s="2">
        <v>5</v>
      </c>
      <c r="H8" s="2">
        <v>5</v>
      </c>
      <c r="I8" s="2">
        <v>5</v>
      </c>
      <c r="J8" s="2">
        <v>5</v>
      </c>
      <c r="K8" s="2">
        <v>5</v>
      </c>
      <c r="L8" s="2">
        <v>5</v>
      </c>
      <c r="M8" s="2">
        <v>5</v>
      </c>
      <c r="N8" s="2">
        <v>5</v>
      </c>
      <c r="O8" s="2">
        <v>5</v>
      </c>
      <c r="P8" s="2">
        <v>5</v>
      </c>
      <c r="Q8" s="2">
        <v>5</v>
      </c>
      <c r="R8" s="2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3</v>
      </c>
      <c r="AI8">
        <v>3</v>
      </c>
      <c r="AJ8">
        <v>3</v>
      </c>
      <c r="AK8">
        <v>3</v>
      </c>
    </row>
    <row r="9" spans="1:96" x14ac:dyDescent="0.2">
      <c r="A9" s="28"/>
      <c r="B9" s="13" t="inlineStr">
        <is>
          <t xml:space="preserve">Ben Carter</t>
        </is>
      </c>
      <c r="C9" s="13" t="inlineStr">
        <is>
          <t xml:space="preserve">Improvement Manager</t>
        </is>
      </c>
      <c r="D9" s="13">
        <f t="shared" ref="D9:D13" si="1">SUM(G9:AK9)</f>
      </c>
      <c r="E9" s="14"/>
      <c r="F9" s="14"/>
      <c r="G9">
        <v>3</v>
      </c>
      <c r="H9" s="2">
        <v>3</v>
      </c>
      <c r="I9" s="2">
        <v>3</v>
      </c>
      <c r="J9" s="2">
        <v>3</v>
      </c>
      <c r="K9" s="2">
        <v>5</v>
      </c>
      <c r="L9" s="2">
        <v>5</v>
      </c>
      <c r="M9" s="2">
        <v>5</v>
      </c>
      <c r="N9" s="2">
        <v>5</v>
      </c>
      <c r="O9" s="2">
        <v>5</v>
      </c>
      <c r="P9" s="2">
        <v>5</v>
      </c>
      <c r="Q9" s="2">
        <v>5</v>
      </c>
      <c r="R9" s="2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3</v>
      </c>
      <c r="AI9">
        <v>3</v>
      </c>
      <c r="AJ9">
        <v>3</v>
      </c>
      <c r="AK9">
        <v>3</v>
      </c>
    </row>
    <row r="10" spans="1:96" x14ac:dyDescent="0.2">
      <c r="A10" s="28"/>
      <c r="B10" s="13" t="inlineStr">
        <is>
          <t xml:space="preserve">Hannah Lee</t>
        </is>
      </c>
      <c r="C10" s="13" t="inlineStr">
        <is>
          <t xml:space="preserve">Improvement Manager</t>
        </is>
      </c>
      <c r="D10" s="13">
        <f t="shared" si="1"/>
      </c>
      <c r="E10" s="14"/>
      <c r="F10" s="14"/>
      <c r="G10" s="2">
        <v>1</v>
      </c>
      <c r="H10" s="2">
        <v>1</v>
      </c>
      <c r="I10" s="2">
        <v>1</v>
      </c>
      <c r="J10">
        <v>1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1</v>
      </c>
      <c r="AI10">
        <v>1</v>
      </c>
      <c r="AJ10">
        <v>1</v>
      </c>
      <c r="AK10">
        <v>1</v>
      </c>
    </row>
    <row r="11" spans="1:96" x14ac:dyDescent="0.2">
      <c r="A11" s="28"/>
      <c r="B11" s="13" t="inlineStr">
        <is>
          <t xml:space="preserve">Chloe Evans</t>
        </is>
      </c>
      <c r="C11" s="13" t="inlineStr">
        <is>
          <t xml:space="preserve">Project Manager</t>
        </is>
      </c>
      <c r="D11" s="13">
        <f t="shared" si="1"/>
      </c>
      <c r="E11" s="14"/>
      <c r="F11" s="14"/>
      <c r="G11" s="2">
        <v>1</v>
      </c>
      <c r="H11" s="2">
        <v>1</v>
      </c>
      <c r="I11" s="2">
        <v>1</v>
      </c>
      <c r="J11" s="2">
        <v>1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1</v>
      </c>
      <c r="AI11">
        <v>1</v>
      </c>
      <c r="AJ11">
        <v>1</v>
      </c>
      <c r="AK11">
        <v>1</v>
      </c>
    </row>
    <row r="12" spans="1:96" x14ac:dyDescent="0.2">
      <c r="A12" s="28"/>
      <c r="B12" s="13" t="inlineStr">
        <is>
          <t xml:space="preserve">Sam Patel</t>
        </is>
      </c>
      <c r="C12" s="13" t="inlineStr">
        <is>
          <t xml:space="preserve">Improvement Manager</t>
        </is>
      </c>
      <c r="D12" s="13">
        <f t="shared" si="1"/>
      </c>
      <c r="E12" s="14"/>
      <c r="F12" s="14"/>
      <c r="G12">
        <v>1</v>
      </c>
      <c r="H12">
        <v>1</v>
      </c>
      <c r="I12">
        <v>1</v>
      </c>
      <c r="J12">
        <v>1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  <c r="V12">
        <v>3</v>
      </c>
      <c r="W12">
        <v>3</v>
      </c>
      <c r="X12">
        <v>3</v>
      </c>
      <c r="Y12">
        <v>3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1</v>
      </c>
      <c r="AI12">
        <v>1</v>
      </c>
      <c r="AJ12">
        <v>1</v>
      </c>
      <c r="AK12">
        <v>1</v>
      </c>
    </row>
    <row r="13" spans="1:96" x14ac:dyDescent="0.2">
      <c r="A13" s="28"/>
      <c r="B13" s="13" t="inlineStr">
        <is>
          <t xml:space="preserve">Omar Siddiqui</t>
        </is>
      </c>
      <c r="C13" s="13" t="inlineStr">
        <is>
          <t xml:space="preserve">Senior Analyst</t>
        </is>
      </c>
      <c r="D13" s="13">
        <f t="shared" si="1"/>
      </c>
      <c r="E13" s="14"/>
      <c r="F13" s="14"/>
      <c r="G13">
        <v>1</v>
      </c>
      <c r="H13">
        <v>1</v>
      </c>
      <c r="I13">
        <v>1</v>
      </c>
      <c r="J13">
        <v>1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1</v>
      </c>
      <c r="AI13">
        <v>1</v>
      </c>
      <c r="AJ13">
        <v>1</v>
      </c>
      <c r="AK13">
        <v>1</v>
      </c>
    </row>
    <row r="14" spans="1:96" x14ac:dyDescent="0.2">
      <c r="A14" s="28"/>
      <c r="B14" s="13"/>
      <c r="C14" s="13"/>
      <c r="D14" s="15">
        <f>SUM(D8:D13)</f>
      </c>
      <c r="E14" s="14"/>
      <c r="F14" s="14"/>
    </row>
    <row r="15" spans="1:96" ht="18" customHeight="1" x14ac:dyDescent="0.2">
      <c r="A15" s="25" t="s">
        <v>23</v>
      </c>
    </row>
    <row r="16" spans="1:96" ht="18" customHeight="1" x14ac:dyDescent="0.2">
      <c r="A16" s="25"/>
    </row>
    <row r="17" spans="1:96" ht="18" customHeight="1" x14ac:dyDescent="0.2">
      <c r="A17" s="25"/>
    </row>
    <row r="18" spans="1:96" s="7" customFormat="1" ht="31.5" x14ac:dyDescent="0.25">
      <c r="A18" s="16"/>
      <c r="B18" s="17" t="s">
        <v>5</v>
      </c>
      <c r="C18" s="17" t="s">
        <v>6</v>
      </c>
      <c r="D18" s="17" t="s">
        <v>7</v>
      </c>
      <c r="E18" s="17" t="s">
        <v>15</v>
      </c>
      <c r="F18" s="17" t="s">
        <v>16</v>
      </c>
      <c r="G18" s="18">
        <f>G7</f>
      </c>
      <c r="H18" s="18">
        <f>IFERROR(G18+7,"Week "&amp;RIGHT(G18,LEN(G18)-FIND(" ",G18))+1)</f>
      </c>
      <c r="I18" s="18">
        <f t="shared" ref="I18:R18" si="2">IFERROR(H18+7,"Week "&amp;RIGHT(H18,LEN(H18)-FIND(" ",H18))+1)</f>
      </c>
      <c r="J18" s="18">
        <f t="shared" si="2"/>
      </c>
      <c r="K18" s="18">
        <f t="shared" si="2"/>
      </c>
      <c r="L18" s="18">
        <f t="shared" si="2"/>
      </c>
      <c r="M18" s="18">
        <f t="shared" si="2"/>
      </c>
      <c r="N18" s="18">
        <f t="shared" si="2"/>
      </c>
      <c r="O18" s="18">
        <f t="shared" si="2"/>
      </c>
      <c r="P18" s="18">
        <f t="shared" si="2"/>
      </c>
      <c r="Q18" s="18">
        <f t="shared" si="2"/>
      </c>
      <c r="R18" s="18">
        <f t="shared" si="2"/>
      </c>
      <c r="S18" s="11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</row>
    <row r="19" spans="1:96" x14ac:dyDescent="0.2">
      <c r="A19" s="29" t="s">
        <v>17</v>
      </c>
      <c r="B19" s="19">
        <f>B8</f>
      </c>
      <c r="C19" s="19">
        <f t="shared" ref="C19:D19" si="3">C8</f>
      </c>
      <c r="D19" s="19">
        <f t="shared" si="3"/>
      </c>
      <c r="E19" s="19">
        <f>SUM(G19:AR19)</f>
      </c>
      <c r="F19" s="19">
        <f>D19-E19</f>
      </c>
      <c r="G19" s="2">
        <v>5</v>
      </c>
      <c r="H19" s="2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96" x14ac:dyDescent="0.2">
      <c r="A20" s="30"/>
      <c r="B20" s="19">
        <f t="shared" ref="B20:D20" si="4">B9</f>
      </c>
      <c r="C20" s="19">
        <f t="shared" si="4"/>
      </c>
      <c r="D20" s="19">
        <f t="shared" si="4"/>
      </c>
      <c r="E20" s="19">
        <f t="shared" ref="E20:E25" si="5">SUM(G20:AR20)</f>
      </c>
      <c r="F20" s="19">
        <f t="shared" ref="F20:F25" si="6">D20-E20</f>
      </c>
      <c r="G20" s="2">
        <v>3</v>
      </c>
      <c r="H20" s="2">
        <v>3</v>
      </c>
      <c r="I20">
        <v>3</v>
      </c>
      <c r="J20">
        <v>3</v>
      </c>
      <c r="K20">
        <v>5</v>
      </c>
      <c r="L20">
        <v>5</v>
      </c>
      <c r="M20">
        <v>5</v>
      </c>
      <c r="N20">
        <v>0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96" x14ac:dyDescent="0.2">
      <c r="A21" s="30"/>
      <c r="B21" s="19">
        <f t="shared" ref="B21:D21" si="7">B10</f>
      </c>
      <c r="C21" s="19">
        <f t="shared" si="7"/>
      </c>
      <c r="D21" s="19">
        <f t="shared" si="7"/>
      </c>
      <c r="E21" s="19">
        <f t="shared" si="5"/>
      </c>
      <c r="F21" s="19">
        <f t="shared" si="6"/>
      </c>
      <c r="G21">
        <v>1</v>
      </c>
      <c r="H21">
        <v>1</v>
      </c>
      <c r="I21">
        <v>1</v>
      </c>
      <c r="J21">
        <v>1</v>
      </c>
      <c r="K21">
        <v>3</v>
      </c>
      <c r="L21">
        <v>2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96" x14ac:dyDescent="0.2">
      <c r="A22" s="30"/>
      <c r="B22" s="19">
        <f t="shared" ref="B22:D22" si="8">B11</f>
      </c>
      <c r="C22" s="19">
        <f t="shared" si="8"/>
      </c>
      <c r="D22" s="19">
        <f t="shared" si="8"/>
      </c>
      <c r="E22" s="19">
        <f t="shared" si="5"/>
      </c>
      <c r="F22" s="19">
        <f t="shared" si="6"/>
      </c>
      <c r="G22">
        <v>1</v>
      </c>
      <c r="H22">
        <v>1</v>
      </c>
      <c r="I22">
        <v>1</v>
      </c>
      <c r="J22">
        <v>1</v>
      </c>
      <c r="K22">
        <v>3</v>
      </c>
      <c r="L22">
        <v>3</v>
      </c>
      <c r="M22">
        <v>3</v>
      </c>
      <c r="N22">
        <v>3</v>
      </c>
      <c r="O22">
        <v>3</v>
      </c>
      <c r="P22">
        <v>3</v>
      </c>
      <c r="Q22">
        <v>3</v>
      </c>
      <c r="R22">
        <v>0</v>
      </c>
      <c r="S22">
        <v>3</v>
      </c>
      <c r="T22">
        <v>3</v>
      </c>
      <c r="U22">
        <v>3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96" x14ac:dyDescent="0.2">
      <c r="A23" s="30"/>
      <c r="B23" s="19">
        <f t="shared" ref="B23:D23" si="9">B12</f>
      </c>
      <c r="C23" s="19">
        <f t="shared" si="9"/>
      </c>
      <c r="D23" s="19">
        <f t="shared" si="9"/>
      </c>
      <c r="E23" s="19">
        <f t="shared" si="5"/>
      </c>
      <c r="F23" s="19">
        <f t="shared" si="6"/>
      </c>
      <c r="G23">
        <v>1</v>
      </c>
      <c r="H23">
        <v>1</v>
      </c>
      <c r="I23">
        <v>1</v>
      </c>
      <c r="J23">
        <v>1</v>
      </c>
      <c r="K23">
        <v>3</v>
      </c>
      <c r="L23">
        <v>3</v>
      </c>
      <c r="M23">
        <v>3</v>
      </c>
      <c r="N23">
        <v>3</v>
      </c>
      <c r="O23">
        <v>3</v>
      </c>
      <c r="P23">
        <v>2</v>
      </c>
      <c r="Q23">
        <v>3</v>
      </c>
      <c r="R23">
        <v>3</v>
      </c>
      <c r="S23">
        <v>3</v>
      </c>
      <c r="T23">
        <v>3</v>
      </c>
      <c r="U23">
        <v>3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96" x14ac:dyDescent="0.2">
      <c r="A24" s="30"/>
      <c r="B24" s="19">
        <f t="shared" ref="B24:D24" si="10">B13</f>
      </c>
      <c r="C24" s="19">
        <f t="shared" si="10"/>
      </c>
      <c r="D24" s="19">
        <f t="shared" si="10"/>
      </c>
      <c r="E24" s="19">
        <f t="shared" si="5"/>
      </c>
      <c r="F24" s="19">
        <f t="shared" si="6"/>
      </c>
      <c r="G24">
        <v>1</v>
      </c>
      <c r="H24">
        <v>1</v>
      </c>
      <c r="I24">
        <v>3</v>
      </c>
      <c r="J24">
        <v>1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96" x14ac:dyDescent="0.2">
      <c r="A25" s="30"/>
      <c r="B25" s="19"/>
      <c r="C25" s="19"/>
      <c r="D25" s="20">
        <f t="shared" ref="D25" si="11">D14</f>
      </c>
      <c r="E25" s="20">
        <f t="shared" si="5"/>
      </c>
      <c r="F25" s="20">
        <f t="shared" si="6"/>
      </c>
    </row>
    <row r="26" spans="1:96" x14ac:dyDescent="0.2">
      <c r="A26" s="33" t="s">
        <v>22</v>
      </c>
    </row>
    <row r="27" spans="1:96" x14ac:dyDescent="0.2">
      <c r="A27" s="33"/>
    </row>
    <row r="28" spans="1:96" x14ac:dyDescent="0.2">
      <c r="A28" s="33"/>
    </row>
    <row r="29" spans="1:96" ht="31.5" x14ac:dyDescent="0.2">
      <c r="A29" s="16"/>
      <c r="B29" s="21" t="s">
        <v>5</v>
      </c>
      <c r="C29" s="21" t="s">
        <v>6</v>
      </c>
      <c r="D29" s="21" t="s">
        <v>7</v>
      </c>
      <c r="E29" s="21" t="s">
        <v>15</v>
      </c>
      <c r="F29" s="21" t="s">
        <v>16</v>
      </c>
      <c r="G29" s="22">
        <f>G18</f>
      </c>
      <c r="H29" s="22">
        <f>IFERROR(G29+7,"Week "&amp;RIGHT(G29,LEN(G29)-FIND(" ",G29))+1)</f>
      </c>
      <c r="I29" s="22">
        <f t="shared" ref="I29" si="12">IFERROR(H29+7,"Week "&amp;RIGHT(H29,LEN(H29)-FIND(" ",H29))+1)</f>
      </c>
      <c r="J29" s="22">
        <f t="shared" ref="J29" si="13">IFERROR(I29+7,"Week "&amp;RIGHT(I29,LEN(I29)-FIND(" ",I29))+1)</f>
      </c>
      <c r="K29" s="22">
        <f t="shared" ref="K29" si="14">IFERROR(J29+7,"Week "&amp;RIGHT(J29,LEN(J29)-FIND(" ",J29))+1)</f>
      </c>
      <c r="L29" s="22">
        <f t="shared" ref="L29" si="15">IFERROR(K29+7,"Week "&amp;RIGHT(K29,LEN(K29)-FIND(" ",K29))+1)</f>
      </c>
      <c r="M29" s="22">
        <f t="shared" ref="M29" si="16">IFERROR(L29+7,"Week "&amp;RIGHT(L29,LEN(L29)-FIND(" ",L29))+1)</f>
      </c>
      <c r="N29" s="22">
        <f t="shared" ref="N29" si="17">IFERROR(M29+7,"Week "&amp;RIGHT(M29,LEN(M29)-FIND(" ",M29))+1)</f>
      </c>
      <c r="O29" s="22">
        <f t="shared" ref="O29" si="18">IFERROR(N29+7,"Week "&amp;RIGHT(N29,LEN(N29)-FIND(" ",N29))+1)</f>
      </c>
      <c r="P29" s="22">
        <f t="shared" ref="P29" si="19">IFERROR(O29+7,"Week "&amp;RIGHT(O29,LEN(O29)-FIND(" ",O29))+1)</f>
      </c>
      <c r="Q29" s="22">
        <f t="shared" ref="Q29" si="20">IFERROR(P29+7,"Week "&amp;RIGHT(P29,LEN(P29)-FIND(" ",P29))+1)</f>
      </c>
      <c r="R29" s="22">
        <f t="shared" ref="R29" si="21">IFERROR(Q29+7,"Week "&amp;RIGHT(Q29,LEN(Q29)-FIND(" ",Q29))+1)</f>
      </c>
    </row>
    <row r="30" spans="1:96" x14ac:dyDescent="0.2">
      <c r="A30" s="31" t="s">
        <v>18</v>
      </c>
      <c r="B30" s="23"/>
      <c r="C30" s="23"/>
      <c r="D30" s="23"/>
      <c r="E30" s="23"/>
      <c r="F30" s="23"/>
    </row>
    <row r="31" spans="1:96" x14ac:dyDescent="0.2">
      <c r="A31" s="32"/>
      <c r="B31" s="23"/>
      <c r="C31" s="23"/>
      <c r="D31" s="23"/>
      <c r="E31" s="23"/>
      <c r="F31" s="23"/>
    </row>
    <row r="32" spans="1:96" x14ac:dyDescent="0.2">
      <c r="A32" s="32"/>
      <c r="B32" s="23"/>
      <c r="C32" s="23"/>
      <c r="D32" s="23"/>
      <c r="E32" s="23"/>
      <c r="F32" s="23"/>
    </row>
    <row r="33" spans="1:6" x14ac:dyDescent="0.2">
      <c r="A33" s="32"/>
      <c r="B33" s="23"/>
      <c r="C33" s="23"/>
      <c r="D33" s="23"/>
      <c r="E33" s="23"/>
      <c r="F33" s="23"/>
    </row>
    <row r="34" spans="1:6" x14ac:dyDescent="0.2">
      <c r="A34" s="32"/>
      <c r="B34" s="23"/>
      <c r="C34" s="23"/>
      <c r="D34" s="23"/>
      <c r="E34" s="23"/>
      <c r="F34" s="23"/>
    </row>
    <row r="35" spans="1:6" x14ac:dyDescent="0.2">
      <c r="A35" s="32"/>
      <c r="B35" s="23"/>
      <c r="C35" s="23"/>
      <c r="D35" s="23"/>
      <c r="E35" s="23"/>
      <c r="F35" s="23"/>
    </row>
    <row r="36" spans="1:6" x14ac:dyDescent="0.2">
      <c r="A36" s="32"/>
      <c r="B36" s="23"/>
      <c r="C36" s="23"/>
      <c r="D36" s="24"/>
      <c r="E36" s="24">
        <f t="shared" si="24"/>
      </c>
      <c r="F36" s="24">
        <f t="shared" si="22"/>
      </c>
    </row>
    <row r="37" spans="1:6" x14ac:dyDescent="0.2">
      <c r="A37" s="25" t="s">
        <v>21</v>
      </c>
    </row>
    <row r="38" spans="1:6" x14ac:dyDescent="0.2">
      <c r="A38" s="26"/>
    </row>
    <row r="39" spans="1:6" x14ac:dyDescent="0.2">
      <c r="A39" s="26"/>
    </row>
  </sheetData>
  <mergeCells count="6">
    <mergeCell ref="A37:A39"/>
    <mergeCell ref="A8:A14"/>
    <mergeCell ref="A19:A25"/>
    <mergeCell ref="A30:A36"/>
    <mergeCell ref="A15:A17"/>
    <mergeCell ref="A26:A28"/>
  </mergeCell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CBB9-E847-AF4A-BE98-10CB44D0AB00}">
  <dimension ref="A2:B6"/>
  <sheetViews>
    <sheetView workbookViewId="0">
      <selection sqref="A1:XFD1048576"/>
    </sheetView>
  </sheetViews>
  <sheetFormatPr defaultColWidth="11" defaultRowHeight="15" x14ac:dyDescent="0.2"/>
  <cols>
    <col min="1" max="16384" width="11" style="2"/>
  </cols>
  <sheetData>
    <row r="2" spans="1:2" ht="15.75" x14ac:dyDescent="0.25">
      <c r="A2" s="1" t="s">
        <v>19</v>
      </c>
      <c r="B2" s="1" t="s">
        <v>20</v>
      </c>
    </row>
    <row r="3" spans="1:2" ht="15.95" x14ac:dyDescent="0.2">
      <c r="A3" s="2">
        <f>Sheet1!B8</f>
      </c>
      <c r="B3" s="2">
        <f>Sheet1!D8</f>
      </c>
    </row>
    <row r="4" spans="1:2" ht="15.95" x14ac:dyDescent="0.2">
      <c r="A4" s="2">
        <f>Sheet1!B9</f>
      </c>
      <c r="B4" s="2">
        <f>Sheet1!D9</f>
      </c>
    </row>
    <row r="5" spans="1:2" ht="15.95" x14ac:dyDescent="0.2">
      <c r="A5" s="2">
        <f>Sheet1!B10</f>
      </c>
      <c r="B5" s="2">
        <f>Sheet1!D10</f>
      </c>
    </row>
    <row r="6" spans="1:2" ht="15.95" x14ac:dyDescent="0.2">
      <c r="A6" s="2">
        <f>Sheet1!B11</f>
      </c>
      <c r="B6" s="2">
        <f>Sheet1!D11</f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722475DE344940A41BC623561EC2B3" ma:contentTypeVersion="15" ma:contentTypeDescription="Create a new document." ma:contentTypeScope="" ma:versionID="fd5d5678de4f46d79c8678894dfd5477">
  <xsd:schema xmlns:xsd="http://www.w3.org/2001/XMLSchema" xmlns:xs="http://www.w3.org/2001/XMLSchema" xmlns:p="http://schemas.microsoft.com/office/2006/metadata/properties" xmlns:ns2="21697468-ab00-4187-b43e-690b347ce3ba" xmlns:ns3="02140767-ea33-4c7b-b767-f24c208d32ac" targetNamespace="http://schemas.microsoft.com/office/2006/metadata/properties" ma:root="true" ma:fieldsID="eb0f920bc60ceb551e328e2da923ccb2" ns2:_="" ns3:_="">
    <xsd:import namespace="21697468-ab00-4187-b43e-690b347ce3ba"/>
    <xsd:import namespace="02140767-ea33-4c7b-b767-f24c208d32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97468-ab00-4187-b43e-690b347ce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fcb103-9447-460e-9e5b-d14289a540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40767-ea33-4c7b-b767-f24c208d32a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da0a4c-d307-4da8-848d-a261a7855403}" ma:internalName="TaxCatchAll" ma:showField="CatchAllData" ma:web="02140767-ea33-4c7b-b767-f24c208d32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40767-ea33-4c7b-b767-f24c208d32ac" xsi:nil="true"/>
    <lcf76f155ced4ddcb4097134ff3c332f xmlns="21697468-ab00-4187-b43e-690b347ce3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6E6264-BDC4-4026-BBF9-D232B4FB87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5F1578-A40F-4A1B-B4EA-BA90F49CB2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97468-ab00-4187-b43e-690b347ce3ba"/>
    <ds:schemaRef ds:uri="02140767-ea33-4c7b-b767-f24c208d32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3CBCB0-1624-45DF-9DA0-E08789A91FFF}">
  <ds:schemaRefs>
    <ds:schemaRef ds:uri="21697468-ab00-4187-b43e-690b347ce3ba"/>
    <ds:schemaRef ds:uri="http://schemas.microsoft.com/office/2006/documentManagement/types"/>
    <ds:schemaRef ds:uri="02140767-ea33-4c7b-b767-f24c208d32ac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Visual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Beale Georgina</cp:lastModifiedBy>
  <cp:revision/>
  <dcterms:created xsi:type="dcterms:W3CDTF">2022-07-12T13:20:20Z</dcterms:created>
  <dcterms:modified xsi:type="dcterms:W3CDTF">2023-12-01T15:19:19Z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0x01010091722475DE344940A41BC623561EC2B3</vt:lpwstr>
  </property>
  <property fmtid="{D5CDD505-2E9C-101B-9397-08002B2CF9AE}" pid="3" name="MediaServiceImageTags">
    <vt:lpwstr/>
  </property>
  <property fmtid="{D5CDD505-2E9C-101B-9397-08002B2CF9AE}" pid="4" name="WinDIP File ID">
    <vt:lpwstr>de48b675-3969-4fe0-ada5-3998d8edcc8d</vt:lpwstr>
  </property>
</Properties>
</file>